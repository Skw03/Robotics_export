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Templa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LM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164" fontId="0" fillId="0" borderId="0" pivotButton="0" quotePrefix="0" xfId="0"/>
    <xf numFmtId="0" fontId="1" fillId="4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Course Experiment KPIs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52" customWidth="1" min="10" max="10"/>
    <col width="42" customWidth="1" min="11" max="11"/>
    <col width="28" customWidth="1" min="12" max="12"/>
  </cols>
  <sheetData>
    <row r="1">
      <c r="A1" s="5" t="inlineStr">
        <is>
          <t>trial</t>
        </is>
      </c>
      <c r="B1" s="5" t="inlineStr">
        <is>
          <t>scene</t>
        </is>
      </c>
      <c r="C1" s="5" t="inlineStr">
        <is>
          <t>task</t>
        </is>
      </c>
      <c r="D1" s="5" t="inlineStr">
        <is>
          <t>planner_profile</t>
        </is>
      </c>
      <c r="E1" s="5" t="inlineStr">
        <is>
          <t>avoidance_profile</t>
        </is>
      </c>
      <c r="F1" s="5" t="inlineStr">
        <is>
          <t>accepted</t>
        </is>
      </c>
      <c r="G1" s="5" t="inlineStr">
        <is>
          <t>status</t>
        </is>
      </c>
      <c r="H1" s="5" t="inlineStr">
        <is>
          <t>task_status</t>
        </is>
      </c>
      <c r="I1" s="5" t="inlineStr">
        <is>
          <t>elapsed_sec</t>
        </is>
      </c>
      <c r="J1" s="5" t="inlineStr">
        <is>
          <t>route</t>
        </is>
      </c>
      <c r="K1" s="5" t="inlineStr">
        <is>
          <t>error</t>
        </is>
      </c>
      <c r="L1" s="5" t="inlineStr">
        <is>
          <t>notes</t>
        </is>
      </c>
    </row>
    <row r="2">
      <c r="A2" s="6" t="n">
        <v>1</v>
      </c>
      <c r="B2" s="6" t="inlineStr">
        <is>
          <t>office</t>
        </is>
      </c>
      <c r="C2" s="6" t="inlineStr">
        <is>
          <t>delivery</t>
        </is>
      </c>
      <c r="D2" s="6" t="inlineStr">
        <is>
          <t>configured</t>
        </is>
      </c>
      <c r="E2" s="6" t="inlineStr">
        <is>
          <t>collision_monitor</t>
        </is>
      </c>
      <c r="F2" s="6" t="b">
        <v>1</v>
      </c>
      <c r="G2" s="6" t="inlineStr">
        <is>
          <t>FAILED</t>
        </is>
      </c>
      <c r="H2" s="6" t="inlineStr">
        <is>
          <t>FAILED</t>
        </is>
      </c>
      <c r="I2" s="6" t="n">
        <v>120.56</v>
      </c>
      <c r="J2" s="6" t="inlineStr">
        <is>
          <t>charger -&gt; supplies -&gt; pantry -&gt; lounge -&gt; hardware -&gt; coe -&gt; charger</t>
        </is>
      </c>
      <c r="K2" s="6" t="inlineStr"/>
      <c r="L2" s="6" t="inlineStr">
        <is>
          <t>midterm real WSL run</t>
        </is>
      </c>
    </row>
    <row r="3">
      <c r="A3" s="6" t="n">
        <v>1</v>
      </c>
      <c r="B3" s="6" t="inlineStr">
        <is>
          <t>office</t>
        </is>
      </c>
      <c r="C3" s="6" t="inlineStr">
        <is>
          <t>patrol</t>
        </is>
      </c>
      <c r="D3" s="6" t="inlineStr">
        <is>
          <t>configured</t>
        </is>
      </c>
      <c r="E3" s="6" t="inlineStr">
        <is>
          <t>collision_monitor</t>
        </is>
      </c>
      <c r="F3" s="6" t="b">
        <v>1</v>
      </c>
      <c r="G3" s="6" t="inlineStr">
        <is>
          <t>FAILED</t>
        </is>
      </c>
      <c r="H3" s="6" t="inlineStr">
        <is>
          <t>FAILED</t>
        </is>
      </c>
      <c r="I3" s="6" t="n">
        <v>589.341</v>
      </c>
      <c r="J3" s="6" t="inlineStr">
        <is>
          <t>charger -&gt; patrol_a1 -&gt; patrol_a2 -&gt; patrol_d1 -&gt; patrol_c -&gt; patrol_b -&gt; charger</t>
        </is>
      </c>
      <c r="K3" s="6" t="inlineStr"/>
      <c r="L3" s="6" t="inlineStr">
        <is>
          <t>midterm real WSL run</t>
        </is>
      </c>
    </row>
    <row r="4">
      <c r="A4" s="6" t="n">
        <v>1</v>
      </c>
      <c r="B4" s="6" t="inlineStr">
        <is>
          <t>warehouse</t>
        </is>
      </c>
      <c r="C4" s="6" t="inlineStr">
        <is>
          <t>delivery</t>
        </is>
      </c>
      <c r="D4" s="6" t="inlineStr">
        <is>
          <t>configured</t>
        </is>
      </c>
      <c r="E4" s="6" t="inlineStr">
        <is>
          <t>collision_monitor</t>
        </is>
      </c>
      <c r="F4" s="6" t="b">
        <v>1</v>
      </c>
      <c r="G4" s="6" t="inlineStr">
        <is>
          <t>FAILED</t>
        </is>
      </c>
      <c r="H4" s="6" t="inlineStr">
        <is>
          <t>FAILED</t>
        </is>
      </c>
      <c r="I4" s="6" t="n">
        <v>50.887</v>
      </c>
      <c r="J4" s="6" t="inlineStr">
        <is>
          <t>staging_area -&gt; inbound -&gt; shelf_west -&gt; shelf_center -&gt; shelf_east -&gt; outbound -&gt; charging_dock</t>
        </is>
      </c>
      <c r="K4" s="6" t="inlineStr"/>
      <c r="L4" s="6" t="inlineStr">
        <is>
          <t>midterm real WSL run</t>
        </is>
      </c>
    </row>
    <row r="5">
      <c r="A5" s="6" t="n">
        <v>1</v>
      </c>
      <c r="B5" s="6" t="inlineStr">
        <is>
          <t>warehouse</t>
        </is>
      </c>
      <c r="C5" s="6" t="inlineStr">
        <is>
          <t>patrol</t>
        </is>
      </c>
      <c r="D5" s="6" t="inlineStr">
        <is>
          <t>configured</t>
        </is>
      </c>
      <c r="E5" s="6" t="inlineStr">
        <is>
          <t>collision_monitor</t>
        </is>
      </c>
      <c r="F5" s="6" t="b">
        <v>1</v>
      </c>
      <c r="G5" s="6" t="inlineStr">
        <is>
          <t>FAILED</t>
        </is>
      </c>
      <c r="H5" s="6" t="inlineStr">
        <is>
          <t>FAILED</t>
        </is>
      </c>
      <c r="I5" s="6" t="n">
        <v>124.367</v>
      </c>
      <c r="J5" s="6" t="inlineStr">
        <is>
          <t>charging_dock -&gt; staging_area -&gt; inbound -&gt; shelf_center -&gt; shelf_east -&gt; outbound -&gt; charging_dock</t>
        </is>
      </c>
      <c r="K5" s="6" t="inlineStr"/>
      <c r="L5" s="6" t="inlineStr">
        <is>
          <t>midterm real WSL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7" t="inlineStr">
        <is>
          <t>Metric</t>
        </is>
      </c>
      <c r="B1" s="7" t="inlineStr">
        <is>
          <t>Formula / value</t>
        </is>
      </c>
    </row>
    <row r="2">
      <c r="A2" t="inlineStr">
        <is>
          <t>Total trials</t>
        </is>
      </c>
      <c r="B2">
        <f>COUNTA('Experiment Template'!A2:A200)</f>
        <v/>
      </c>
    </row>
    <row r="3">
      <c r="A3" t="inlineStr">
        <is>
          <t>Completed trials</t>
        </is>
      </c>
      <c r="B3">
        <f>COUNTIF('Experiment Template'!H2:H200,"COMPLETED")</f>
        <v/>
      </c>
    </row>
    <row r="4">
      <c r="A4" t="inlineStr">
        <is>
          <t>Success rate</t>
        </is>
      </c>
      <c r="B4" s="3">
        <f>IF(B2=0,0,B3/B2)</f>
        <v/>
      </c>
    </row>
    <row r="5">
      <c r="A5" t="inlineStr">
        <is>
          <t>Average elapsed sec</t>
        </is>
      </c>
      <c r="B5">
        <f>IFERROR(AVERAGEIF('Experiment Template'!H2:H200,"COMPLETED",'Experiment Template'!I2:I200),0)</f>
        <v/>
      </c>
    </row>
    <row r="6">
      <c r="A6" t="inlineStr">
        <is>
          <t>Error trials</t>
        </is>
      </c>
      <c r="B6">
        <f>COUNTIF('Experiment Template'!G2:G200,"ERROR")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14" customWidth="1" min="7" max="7"/>
    <col width="14" customWidth="1" min="8" max="8"/>
    <col width="12" customWidth="1" min="9" max="9"/>
    <col width="42" customWidth="1" min="10" max="10"/>
  </cols>
  <sheetData>
    <row r="1">
      <c r="A1" s="8" t="inlineStr">
        <is>
          <t>command</t>
        </is>
      </c>
      <c r="B1" s="8" t="inlineStr">
        <is>
          <t>expected_scene</t>
        </is>
      </c>
      <c r="C1" s="8" t="inlineStr">
        <is>
          <t>expected_task</t>
        </is>
      </c>
      <c r="D1" s="8" t="inlineStr">
        <is>
          <t>parsed_scene</t>
        </is>
      </c>
      <c r="E1" s="8" t="inlineStr">
        <is>
          <t>parsed_task</t>
        </is>
      </c>
      <c r="F1" s="8" t="inlineStr">
        <is>
          <t>parser</t>
        </is>
      </c>
      <c r="G1" s="8" t="inlineStr">
        <is>
          <t>latency_sec</t>
        </is>
      </c>
      <c r="H1" s="8" t="inlineStr">
        <is>
          <t>confidence</t>
        </is>
      </c>
      <c r="I1" s="8" t="inlineStr">
        <is>
          <t>correct</t>
        </is>
      </c>
      <c r="J1" s="8" t="inlineStr">
        <is>
          <t>failure_note</t>
        </is>
      </c>
    </row>
    <row r="2">
      <c r="A2" t="inlineStr">
        <is>
          <t>send the warehouse robot to complete a delivery loop</t>
        </is>
      </c>
      <c r="B2" t="inlineStr">
        <is>
          <t>warehouse</t>
        </is>
      </c>
      <c r="C2" t="inlineStr">
        <is>
          <t>delivery</t>
        </is>
      </c>
      <c r="I2">
        <f>IF(AND(B2=D2,C2=E2),"yes","no")</f>
        <v/>
      </c>
    </row>
    <row r="3">
      <c r="A3" t="inlineStr">
        <is>
          <t>dispatch an office patrol route through the checkpoints</t>
        </is>
      </c>
      <c r="B3" t="inlineStr">
        <is>
          <t>office</t>
        </is>
      </c>
      <c r="C3" t="inlineStr">
        <is>
          <t>patrol</t>
        </is>
      </c>
      <c r="I3">
        <f>IF(AND(B3=D3,C3=E3),"yes","no")</f>
        <v/>
      </c>
    </row>
    <row r="4">
      <c r="A4" t="inlineStr">
        <is>
          <t>办公室送文件到休息区</t>
        </is>
      </c>
      <c r="B4" t="inlineStr">
        <is>
          <t>office</t>
        </is>
      </c>
      <c r="C4" t="inlineStr">
        <is>
          <t>delivery</t>
        </is>
      </c>
      <c r="I4">
        <f>IF(AND(B4=D4,C4=E4),"yes","no")</f>
        <v/>
      </c>
    </row>
    <row r="5">
      <c r="A5" t="inlineStr">
        <is>
          <t>仓库机器人巡检货架和出货区</t>
        </is>
      </c>
      <c r="B5" t="inlineStr">
        <is>
          <t>warehouse</t>
        </is>
      </c>
      <c r="C5" t="inlineStr">
        <is>
          <t>patrol</t>
        </is>
      </c>
      <c r="I5">
        <f>IF(AND(B5=D5,C5=E5),"yes","no")</f>
        <v/>
      </c>
    </row>
    <row r="6">
      <c r="A6" t="inlineStr">
        <is>
          <t>return the office robot after checking all checkpoints</t>
        </is>
      </c>
      <c r="B6" t="inlineStr">
        <is>
          <t>office</t>
        </is>
      </c>
      <c r="C6" t="inlineStr">
        <is>
          <t>patrol</t>
        </is>
      </c>
      <c r="I6">
        <f>IF(AND(B6=D6,C6=E6),"yes","no")</f>
        <v/>
      </c>
    </row>
    <row r="7">
      <c r="A7" t="inlineStr">
        <is>
          <t>move goods across the warehouse route</t>
        </is>
      </c>
      <c r="B7" t="inlineStr">
        <is>
          <t>warehouse</t>
        </is>
      </c>
      <c r="C7" t="inlineStr">
        <is>
          <t>delivery</t>
        </is>
      </c>
      <c r="I7">
        <f>IF(AND(B7=D7,C7=E7),"yes","no")</f>
        <v/>
      </c>
    </row>
    <row r="8">
      <c r="A8" t="inlineStr">
        <is>
          <t>办公区补给配送</t>
        </is>
      </c>
      <c r="B8" t="inlineStr">
        <is>
          <t>office</t>
        </is>
      </c>
      <c r="C8" t="inlineStr">
        <is>
          <t>delivery</t>
        </is>
      </c>
      <c r="I8">
        <f>IF(AND(B8=D8,C8=E8),"yes","no")</f>
        <v/>
      </c>
    </row>
    <row r="9">
      <c r="A9" t="inlineStr">
        <is>
          <t>warehouse shelf inspection loop</t>
        </is>
      </c>
      <c r="B9" t="inlineStr">
        <is>
          <t>warehouse</t>
        </is>
      </c>
      <c r="C9" t="inlineStr">
        <is>
          <t>patrol</t>
        </is>
      </c>
      <c r="I9">
        <f>IF(AND(B9=D9,C9=E9),"yes","no")</f>
        <v/>
      </c>
    </row>
    <row r="10">
      <c r="A10" t="inlineStr">
        <is>
          <t>office mail delivery route</t>
        </is>
      </c>
      <c r="B10" t="inlineStr">
        <is>
          <t>office</t>
        </is>
      </c>
      <c r="C10" t="inlineStr">
        <is>
          <t>delivery</t>
        </is>
      </c>
      <c r="I10">
        <f>IF(AND(B10=D10,C10=E10),"yes","no")</f>
        <v/>
      </c>
    </row>
    <row r="11">
      <c r="A11" t="inlineStr">
        <is>
          <t>仓库出库配送任务</t>
        </is>
      </c>
      <c r="B11" t="inlineStr">
        <is>
          <t>warehouse</t>
        </is>
      </c>
      <c r="C11" t="inlineStr">
        <is>
          <t>delivery</t>
        </is>
      </c>
      <c r="I11">
        <f>IF(AND(B11=D11,C11=E11),"yes","no")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2026-05-05T17:00:30Z</dcterms:created>
  <dcterms:modified xmlns:dcterms="http://purl.org/dc/terms/" xmlns:xsi="http://www.w3.org/2001/XMLSchema-instance" xsi:type="dcterms:W3CDTF">2026-05-05T17:33:09Z</dcterms:modified>
</cp:coreProperties>
</file>